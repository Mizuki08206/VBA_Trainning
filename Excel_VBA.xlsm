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zuk\Downloads\"/>
    </mc:Choice>
  </mc:AlternateContent>
  <xr:revisionPtr revIDLastSave="0" documentId="13_ncr:1_{517497A0-15A2-45C8-8567-337C3EC5E99B}" xr6:coauthVersionLast="47" xr6:coauthVersionMax="47" xr10:uidLastSave="{00000000-0000-0000-0000-000000000000}"/>
  <bookViews>
    <workbookView xWindow="-110" yWindow="-110" windowWidth="22780" windowHeight="14540" activeTab="5" xr2:uid="{4A2FCD3C-52E2-4D8E-B1A7-42727A2D7A91}"/>
  </bookViews>
  <sheets>
    <sheet name="lesson3" sheetId="1" r:id="rId1"/>
    <sheet name="Sheet2" sheetId="2" r:id="rId2"/>
    <sheet name="lesson4" sheetId="3" r:id="rId3"/>
    <sheet name="lesson5" sheetId="9" r:id="rId4"/>
    <sheet name="lesson6" sheetId="10" r:id="rId5"/>
    <sheet name="lesson7" sheetId="12" r:id="rId6"/>
  </sheets>
  <definedNames>
    <definedName name="_xlnm._FilterDatabase" localSheetId="3" hidden="1">lesson5!$A$4:$R$4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8" i="12" l="1"/>
  <c r="H8" i="12"/>
  <c r="E8" i="12"/>
  <c r="K7" i="12"/>
  <c r="H7" i="12"/>
  <c r="E7" i="12"/>
  <c r="K6" i="12"/>
  <c r="H6" i="12"/>
  <c r="E6" i="12"/>
  <c r="K5" i="12"/>
  <c r="H5" i="12"/>
  <c r="E5" i="12"/>
  <c r="K4" i="12"/>
  <c r="K3" i="12"/>
  <c r="H4" i="12"/>
  <c r="H3" i="12"/>
  <c r="E4" i="12"/>
  <c r="E3" i="12"/>
</calcChain>
</file>

<file path=xl/sharedStrings.xml><?xml version="1.0" encoding="utf-8"?>
<sst xmlns="http://schemas.openxmlformats.org/spreadsheetml/2006/main" count="416" uniqueCount="140">
  <si>
    <t>aaa</t>
    <phoneticPr fontId="1"/>
  </si>
  <si>
    <t>Value1</t>
    <phoneticPr fontId="1"/>
  </si>
  <si>
    <t>Value2</t>
    <phoneticPr fontId="1"/>
  </si>
  <si>
    <t>Value1/Value2</t>
    <phoneticPr fontId="1"/>
  </si>
  <si>
    <t>Value1Value2</t>
    <phoneticPr fontId="1"/>
  </si>
  <si>
    <t>End</t>
    <phoneticPr fontId="1"/>
  </si>
  <si>
    <t>hoge</t>
    <phoneticPr fontId="1"/>
  </si>
  <si>
    <t>型が一致しません。</t>
  </si>
  <si>
    <t>Value2には0以外の値を指定してください</t>
  </si>
  <si>
    <t>◆有価証券売買実績表</t>
    <rPh sb="1" eb="3">
      <t>ユウカ</t>
    </rPh>
    <rPh sb="3" eb="5">
      <t>ショウケン</t>
    </rPh>
    <rPh sb="5" eb="7">
      <t>バイバイ</t>
    </rPh>
    <rPh sb="7" eb="9">
      <t>ジッセキ</t>
    </rPh>
    <rPh sb="9" eb="10">
      <t>ヒョウ</t>
    </rPh>
    <phoneticPr fontId="5"/>
  </si>
  <si>
    <t>No</t>
    <phoneticPr fontId="5"/>
  </si>
  <si>
    <t>対象資産</t>
    <rPh sb="0" eb="2">
      <t>タイショウ</t>
    </rPh>
    <rPh sb="2" eb="4">
      <t>シサン</t>
    </rPh>
    <phoneticPr fontId="5"/>
  </si>
  <si>
    <t>銘柄コード</t>
    <rPh sb="0" eb="2">
      <t>メイガラ</t>
    </rPh>
    <phoneticPr fontId="5"/>
  </si>
  <si>
    <t>銘柄名</t>
    <rPh sb="0" eb="2">
      <t>メイガラ</t>
    </rPh>
    <rPh sb="2" eb="3">
      <t>メイ</t>
    </rPh>
    <phoneticPr fontId="5"/>
  </si>
  <si>
    <t>約定日</t>
    <rPh sb="0" eb="3">
      <t>ヤクジョウビ</t>
    </rPh>
    <phoneticPr fontId="5"/>
  </si>
  <si>
    <t>受渡日</t>
    <rPh sb="0" eb="2">
      <t>ウケワタシ</t>
    </rPh>
    <rPh sb="2" eb="3">
      <t>ビ</t>
    </rPh>
    <phoneticPr fontId="5"/>
  </si>
  <si>
    <t>償還日</t>
    <rPh sb="0" eb="3">
      <t>ショウカンビ</t>
    </rPh>
    <phoneticPr fontId="5"/>
  </si>
  <si>
    <t>利率</t>
    <rPh sb="0" eb="2">
      <t>リリツ</t>
    </rPh>
    <phoneticPr fontId="5"/>
  </si>
  <si>
    <t>取引種別</t>
    <rPh sb="0" eb="2">
      <t>トリヒキ</t>
    </rPh>
    <rPh sb="2" eb="4">
      <t>シュベツ</t>
    </rPh>
    <phoneticPr fontId="5"/>
  </si>
  <si>
    <t>種別_取込</t>
  </si>
  <si>
    <t>発行</t>
    <rPh sb="0" eb="2">
      <t>ハッコウ</t>
    </rPh>
    <phoneticPr fontId="5"/>
  </si>
  <si>
    <t>換算レート</t>
    <rPh sb="0" eb="2">
      <t>カンサン</t>
    </rPh>
    <phoneticPr fontId="5"/>
  </si>
  <si>
    <t>買数量</t>
    <rPh sb="0" eb="1">
      <t>カ</t>
    </rPh>
    <rPh sb="1" eb="3">
      <t>スウリョウ</t>
    </rPh>
    <phoneticPr fontId="5"/>
  </si>
  <si>
    <t>買簿価</t>
    <rPh sb="0" eb="1">
      <t>カ</t>
    </rPh>
    <rPh sb="1" eb="3">
      <t>ボカ</t>
    </rPh>
    <phoneticPr fontId="5"/>
  </si>
  <si>
    <t>売数量</t>
    <rPh sb="0" eb="1">
      <t>ウ</t>
    </rPh>
    <rPh sb="1" eb="3">
      <t>スウリョウ</t>
    </rPh>
    <phoneticPr fontId="5"/>
  </si>
  <si>
    <t>取引プライス</t>
    <rPh sb="0" eb="2">
      <t>トリヒキ</t>
    </rPh>
    <phoneticPr fontId="5"/>
  </si>
  <si>
    <t>売買損益</t>
    <rPh sb="0" eb="2">
      <t>バイバイ</t>
    </rPh>
    <rPh sb="2" eb="4">
      <t>ソンエキ</t>
    </rPh>
    <phoneticPr fontId="5"/>
  </si>
  <si>
    <t>売却/償還</t>
  </si>
  <si>
    <t>国内債券</t>
  </si>
  <si>
    <t>JPSAMPLE0001</t>
    <phoneticPr fontId="5"/>
  </si>
  <si>
    <t>東京都公募公債(5年)</t>
    <rPh sb="0" eb="3">
      <t>トウキョウト</t>
    </rPh>
    <rPh sb="9" eb="10">
      <t>ネン</t>
    </rPh>
    <phoneticPr fontId="5"/>
  </si>
  <si>
    <t>普通</t>
  </si>
  <si>
    <t>公募地方債</t>
  </si>
  <si>
    <t>JPY</t>
  </si>
  <si>
    <t/>
  </si>
  <si>
    <t>JPSAMPLE0002</t>
    <phoneticPr fontId="5"/>
  </si>
  <si>
    <t>利付国債(10年）#1</t>
    <phoneticPr fontId="5"/>
  </si>
  <si>
    <t>長期国債</t>
  </si>
  <si>
    <t>売却</t>
  </si>
  <si>
    <t>JPSAMPLE0003</t>
  </si>
  <si>
    <t>利付国債(10年）#2</t>
    <phoneticPr fontId="5"/>
  </si>
  <si>
    <t>JPSAMPLE0004</t>
  </si>
  <si>
    <t>○○支援機構債（貸付債）#1</t>
    <phoneticPr fontId="5"/>
  </si>
  <si>
    <t>その他公団公社公庫債</t>
  </si>
  <si>
    <t>JPSAMPLE0005</t>
  </si>
  <si>
    <t>○○支援機構債（貸付債）#2</t>
    <phoneticPr fontId="5"/>
  </si>
  <si>
    <t>JPSAMPLE0006</t>
  </si>
  <si>
    <t>○○支援機構債（貸付債）#3</t>
  </si>
  <si>
    <t>JPSAMPLE0007</t>
  </si>
  <si>
    <t>○○支援機構債（貸付債）#4</t>
  </si>
  <si>
    <t>JPSAMPLE0008</t>
  </si>
  <si>
    <t>○○支援機構債（貸付債）#5</t>
  </si>
  <si>
    <t>JPSAMPLE0009</t>
  </si>
  <si>
    <t>○○支援機構債（貸付債）#6</t>
  </si>
  <si>
    <t>JPSAMPLE0010</t>
  </si>
  <si>
    <t>××会社無担保社債#1</t>
    <rPh sb="2" eb="4">
      <t>カイシャ</t>
    </rPh>
    <phoneticPr fontId="5"/>
  </si>
  <si>
    <t>公募事業債</t>
  </si>
  <si>
    <t>JPSAMPLE0011</t>
  </si>
  <si>
    <t>××会社無担保社債#2</t>
    <rPh sb="2" eb="4">
      <t>カイシャ</t>
    </rPh>
    <phoneticPr fontId="5"/>
  </si>
  <si>
    <t>JPSAMPLE0012</t>
  </si>
  <si>
    <t>××会社無担保社債#3</t>
    <rPh sb="2" eb="4">
      <t>カイシャ</t>
    </rPh>
    <phoneticPr fontId="5"/>
  </si>
  <si>
    <t>JPSAMPLE0013</t>
  </si>
  <si>
    <t>神奈川県公募公債</t>
    <phoneticPr fontId="5"/>
  </si>
  <si>
    <t>JPSAMPLE0014</t>
  </si>
  <si>
    <t>千葉県公募公債</t>
    <rPh sb="0" eb="2">
      <t>チバ</t>
    </rPh>
    <phoneticPr fontId="5"/>
  </si>
  <si>
    <t>JPSAMPLE0015</t>
  </si>
  <si>
    <t>さいたま市公募公債</t>
    <rPh sb="4" eb="5">
      <t>シ</t>
    </rPh>
    <rPh sb="5" eb="7">
      <t>コウボ</t>
    </rPh>
    <phoneticPr fontId="5"/>
  </si>
  <si>
    <t>JPSAMPLE0016</t>
  </si>
  <si>
    <t>水戸市公募公債</t>
    <rPh sb="0" eb="2">
      <t>ミト</t>
    </rPh>
    <phoneticPr fontId="5"/>
  </si>
  <si>
    <t>JPSAMPLE0017</t>
  </si>
  <si>
    <t>○○金融機構債（貸付債）#1</t>
    <rPh sb="2" eb="4">
      <t>キンユウ</t>
    </rPh>
    <rPh sb="4" eb="6">
      <t>キコウ</t>
    </rPh>
    <phoneticPr fontId="5"/>
  </si>
  <si>
    <t>JPSAMPLE0018</t>
  </si>
  <si>
    <t>××支援債券#1</t>
    <rPh sb="2" eb="4">
      <t>シエン</t>
    </rPh>
    <phoneticPr fontId="5"/>
  </si>
  <si>
    <t>満期償還</t>
  </si>
  <si>
    <t>JPSAMPLE0019</t>
  </si>
  <si>
    <t>××支援債券#2</t>
    <rPh sb="2" eb="4">
      <t>シエン</t>
    </rPh>
    <phoneticPr fontId="5"/>
  </si>
  <si>
    <t>JPSAMPLE0020</t>
  </si>
  <si>
    <t>愛知県公募公債</t>
    <rPh sb="0" eb="3">
      <t>アイチケン</t>
    </rPh>
    <phoneticPr fontId="5"/>
  </si>
  <si>
    <t>JPSAMPLE0021</t>
  </si>
  <si>
    <t>××債務返済#1</t>
    <phoneticPr fontId="5"/>
  </si>
  <si>
    <t>JPSAMPLE0022</t>
  </si>
  <si>
    <t>××債務返済#2</t>
    <phoneticPr fontId="5"/>
  </si>
  <si>
    <t>JPSAMPLE0023</t>
  </si>
  <si>
    <t>公営企業債券#1</t>
    <phoneticPr fontId="5"/>
  </si>
  <si>
    <t>JPSAMPLE0024</t>
  </si>
  <si>
    <t>○○金融機構債（貸付債）#2</t>
    <rPh sb="2" eb="4">
      <t>キンユウ</t>
    </rPh>
    <rPh sb="4" eb="6">
      <t>キコウ</t>
    </rPh>
    <phoneticPr fontId="5"/>
  </si>
  <si>
    <t>JPSAMPLE0025</t>
  </si>
  <si>
    <t>横浜市公募公債</t>
    <phoneticPr fontId="5"/>
  </si>
  <si>
    <t>JPSAMPLE0026</t>
  </si>
  <si>
    <t>○○支援機構債（貸付債）#7</t>
    <phoneticPr fontId="5"/>
  </si>
  <si>
    <t>JPSAMPLE0027</t>
  </si>
  <si>
    <t>○○支援機構債（貸付債）#8</t>
    <phoneticPr fontId="5"/>
  </si>
  <si>
    <t>JPSAMPLE0028</t>
  </si>
  <si>
    <t>大阪府公募公債（5年）#1</t>
    <phoneticPr fontId="5"/>
  </si>
  <si>
    <t>JPSAMPLE0029</t>
  </si>
  <si>
    <t>大阪府公募公債（5年）#2</t>
    <phoneticPr fontId="5"/>
  </si>
  <si>
    <t>JPSAMPLE0030</t>
  </si>
  <si>
    <t>××電力債#1</t>
    <phoneticPr fontId="5"/>
  </si>
  <si>
    <t>JPSAMPLE0031</t>
  </si>
  <si>
    <t>××電力債#2</t>
    <phoneticPr fontId="5"/>
  </si>
  <si>
    <t>JPSAMPLE0032</t>
  </si>
  <si>
    <t>福岡県公募公債</t>
    <rPh sb="0" eb="2">
      <t>フクオカ</t>
    </rPh>
    <phoneticPr fontId="5"/>
  </si>
  <si>
    <t>国内投資信託</t>
  </si>
  <si>
    <t>SAMPLE100001</t>
    <phoneticPr fontId="5"/>
  </si>
  <si>
    <t>○○日本ﾌｧﾝﾄﾞ</t>
    <phoneticPr fontId="5"/>
  </si>
  <si>
    <t>-</t>
    <phoneticPr fontId="5"/>
  </si>
  <si>
    <t>SAMPLE100002</t>
    <phoneticPr fontId="5"/>
  </si>
  <si>
    <t>××ﾌｧﾝﾄﾞF</t>
    <phoneticPr fontId="5"/>
  </si>
  <si>
    <t>SAMPLE100003</t>
  </si>
  <si>
    <t>米国国債★★投信1</t>
    <phoneticPr fontId="5"/>
  </si>
  <si>
    <t>外国債券</t>
  </si>
  <si>
    <t>XSSAMPLE0001</t>
    <phoneticPr fontId="5"/>
  </si>
  <si>
    <t>ZEST X 0001-001(XXXXXXX)</t>
    <phoneticPr fontId="5"/>
  </si>
  <si>
    <t>円建外債</t>
  </si>
  <si>
    <t>FRSAMPLE0001</t>
    <phoneticPr fontId="5"/>
  </si>
  <si>
    <t>フランス国債#1</t>
    <phoneticPr fontId="5"/>
  </si>
  <si>
    <t>国債</t>
  </si>
  <si>
    <t>EUR</t>
  </si>
  <si>
    <t>FRSAMPLE0002</t>
  </si>
  <si>
    <t>フランス国債#2</t>
    <phoneticPr fontId="5"/>
  </si>
  <si>
    <t>USSAMPLE0001</t>
    <phoneticPr fontId="5"/>
  </si>
  <si>
    <t>US TREASURY NOTE#1</t>
    <phoneticPr fontId="5"/>
  </si>
  <si>
    <t>USD</t>
  </si>
  <si>
    <t>FRSAMPLE0003</t>
    <phoneticPr fontId="5"/>
  </si>
  <si>
    <t>フランス国債#3</t>
    <phoneticPr fontId="5"/>
  </si>
  <si>
    <t>外国投資信託</t>
  </si>
  <si>
    <t>SAMPLE200001</t>
    <phoneticPr fontId="5"/>
  </si>
  <si>
    <t>○○Yen Hedged Fund</t>
    <phoneticPr fontId="5"/>
  </si>
  <si>
    <t>C:\Users\mizuk\Downloads\data.txt</t>
  </si>
  <si>
    <t>A支店</t>
    <rPh sb="1" eb="3">
      <t>シテン</t>
    </rPh>
    <phoneticPr fontId="1"/>
  </si>
  <si>
    <t>売上</t>
    <rPh sb="0" eb="2">
      <t>ウリアゲ</t>
    </rPh>
    <phoneticPr fontId="1"/>
  </si>
  <si>
    <t>仕入</t>
    <rPh sb="0" eb="2">
      <t>シイ</t>
    </rPh>
    <phoneticPr fontId="1"/>
  </si>
  <si>
    <t>仕入比</t>
    <rPh sb="0" eb="2">
      <t>シイ</t>
    </rPh>
    <rPh sb="2" eb="3">
      <t>ヒ</t>
    </rPh>
    <phoneticPr fontId="1"/>
  </si>
  <si>
    <t>2017年</t>
    <rPh sb="4" eb="5">
      <t>ネン</t>
    </rPh>
    <phoneticPr fontId="1"/>
  </si>
  <si>
    <t>実績</t>
    <rPh sb="0" eb="2">
      <t>ジッセキ</t>
    </rPh>
    <phoneticPr fontId="1"/>
  </si>
  <si>
    <t>予算</t>
    <rPh sb="0" eb="2">
      <t>ヨサン</t>
    </rPh>
    <phoneticPr fontId="1"/>
  </si>
  <si>
    <t>B支店</t>
    <rPh sb="1" eb="3">
      <t>シテン</t>
    </rPh>
    <phoneticPr fontId="1"/>
  </si>
  <si>
    <t>C支店</t>
    <rPh sb="1" eb="3">
      <t>シテン</t>
    </rPh>
    <phoneticPr fontId="1"/>
  </si>
  <si>
    <t>2018年</t>
    <rPh sb="4" eb="5">
      <t>ネン</t>
    </rPh>
    <phoneticPr fontId="1"/>
  </si>
  <si>
    <t>2019年</t>
    <rPh sb="4" eb="5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</si>
</sst>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%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scheme val="minor"/>
    </font>
    <font>
      <sz val="16"/>
      <color theme="1"/>
      <name val="游ゴシック"/>
      <family val="2"/>
      <scheme val="minor"/>
    </font>
    <font>
      <b/>
      <sz val="18"/>
      <color theme="3"/>
      <name val="游ゴシック Light"/>
      <family val="2"/>
      <charset val="128"/>
      <scheme val="major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/>
    <xf numFmtId="9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1" applyFont="1"/>
    <xf numFmtId="0" fontId="3" fillId="0" borderId="0" xfId="1"/>
    <xf numFmtId="0" fontId="3" fillId="2" borderId="1" xfId="1" applyFill="1" applyBorder="1"/>
    <xf numFmtId="0" fontId="3" fillId="0" borderId="2" xfId="1" applyBorder="1"/>
    <xf numFmtId="14" fontId="3" fillId="0" borderId="2" xfId="1" applyNumberFormat="1" applyBorder="1"/>
    <xf numFmtId="176" fontId="0" fillId="0" borderId="2" xfId="2" applyNumberFormat="1" applyFont="1" applyBorder="1" applyAlignment="1"/>
    <xf numFmtId="38" fontId="0" fillId="0" borderId="2" xfId="3" applyFont="1" applyBorder="1" applyAlignment="1"/>
    <xf numFmtId="0" fontId="3" fillId="0" borderId="3" xfId="1" applyBorder="1"/>
    <xf numFmtId="14" fontId="3" fillId="0" borderId="3" xfId="1" applyNumberFormat="1" applyBorder="1"/>
    <xf numFmtId="176" fontId="0" fillId="0" borderId="3" xfId="2" applyNumberFormat="1" applyFont="1" applyBorder="1" applyAlignment="1"/>
    <xf numFmtId="38" fontId="0" fillId="0" borderId="3" xfId="3" applyFont="1" applyBorder="1" applyAlignment="1"/>
    <xf numFmtId="0" fontId="3" fillId="0" borderId="4" xfId="1" applyBorder="1"/>
    <xf numFmtId="14" fontId="3" fillId="0" borderId="4" xfId="1" applyNumberFormat="1" applyBorder="1"/>
    <xf numFmtId="176" fontId="0" fillId="0" borderId="4" xfId="2" applyNumberFormat="1" applyFont="1" applyBorder="1" applyAlignment="1"/>
    <xf numFmtId="38" fontId="0" fillId="0" borderId="4" xfId="3" applyFont="1" applyBorder="1" applyAlignment="1"/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6" fillId="3" borderId="1" xfId="0" applyFont="1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4">
    <cellStyle name="パーセント 2" xfId="2" xr:uid="{13DF9FEB-ED72-444E-AE9E-017E8F5B334E}"/>
    <cellStyle name="桁区切り 2" xfId="3" xr:uid="{1E0DFCCA-8132-434D-AD1A-B835AEA2B698}"/>
    <cellStyle name="標準" xfId="0" builtinId="0"/>
    <cellStyle name="標準 2" xfId="1" xr:uid="{01E7CCE9-B261-4D5E-82A7-9C69EB9EEC7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222250</xdr:rowOff>
        </xdr:from>
        <xdr:to>
          <xdr:col>5</xdr:col>
          <xdr:colOff>660400</xdr:colOff>
          <xdr:row>2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660400</xdr:colOff>
          <xdr:row>0</xdr:row>
          <xdr:rowOff>215900</xdr:rowOff>
        </xdr:from>
        <xdr:to>
          <xdr:col>7</xdr:col>
          <xdr:colOff>6350</xdr:colOff>
          <xdr:row>3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12700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テキストに落とす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2</xdr:row>
          <xdr:rowOff>12700</xdr:rowOff>
        </xdr:from>
        <xdr:to>
          <xdr:col>5</xdr:col>
          <xdr:colOff>6350</xdr:colOff>
          <xdr:row>3</xdr:row>
          <xdr:rowOff>222250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テキストファイルからCSVに転記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988F9-D3BD-48CF-A238-BF48942D6344}">
  <sheetPr codeName="Sheet1"/>
  <dimension ref="B6"/>
  <sheetViews>
    <sheetView workbookViewId="0"/>
  </sheetViews>
  <sheetFormatPr defaultRowHeight="18" x14ac:dyDescent="0.55000000000000004"/>
  <sheetData>
    <row r="6" spans="2:2" x14ac:dyDescent="0.55000000000000004">
      <c r="B6" t="s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sson3_Func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9A97E-943A-459B-B276-193C3625FBFB}">
  <sheetPr codeName="Sheet2"/>
  <dimension ref="A1:C6"/>
  <sheetViews>
    <sheetView workbookViewId="0"/>
  </sheetViews>
  <sheetFormatPr defaultRowHeight="18" x14ac:dyDescent="0.55000000000000004"/>
  <sheetData>
    <row r="1" spans="1:3" x14ac:dyDescent="0.55000000000000004">
      <c r="A1" t="s">
        <v>1</v>
      </c>
      <c r="B1" t="s">
        <v>2</v>
      </c>
      <c r="C1" t="s">
        <v>4</v>
      </c>
    </row>
    <row r="2" spans="1:3" x14ac:dyDescent="0.55000000000000004">
      <c r="A2">
        <v>1</v>
      </c>
      <c r="B2">
        <v>1</v>
      </c>
    </row>
    <row r="3" spans="1:3" x14ac:dyDescent="0.55000000000000004">
      <c r="A3">
        <v>2</v>
      </c>
      <c r="B3">
        <v>2</v>
      </c>
    </row>
    <row r="4" spans="1:3" x14ac:dyDescent="0.55000000000000004">
      <c r="A4">
        <v>3</v>
      </c>
      <c r="B4">
        <v>0</v>
      </c>
    </row>
    <row r="5" spans="1:3" x14ac:dyDescent="0.55000000000000004">
      <c r="A5">
        <v>4</v>
      </c>
      <c r="B5">
        <v>4</v>
      </c>
    </row>
    <row r="6" spans="1:3" x14ac:dyDescent="0.55000000000000004">
      <c r="C6" t="s">
        <v>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esson4_1_Func">
                <anchor moveWithCells="1" sizeWithCells="1">
                  <from>
                    <xdr:col>4</xdr:col>
                    <xdr:colOff>6350</xdr:colOff>
                    <xdr:row>0</xdr:row>
                    <xdr:rowOff>222250</xdr:rowOff>
                  </from>
                  <to>
                    <xdr:col>5</xdr:col>
                    <xdr:colOff>660400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00947-447E-4385-83F2-E85E87FEF7E0}">
  <sheetPr codeName="Sheet3"/>
  <dimension ref="A1:C5"/>
  <sheetViews>
    <sheetView workbookViewId="0"/>
  </sheetViews>
  <sheetFormatPr defaultRowHeight="18" x14ac:dyDescent="0.55000000000000004"/>
  <cols>
    <col min="3" max="3" width="35.08203125" customWidth="1"/>
  </cols>
  <sheetData>
    <row r="1" spans="1:3" x14ac:dyDescent="0.55000000000000004">
      <c r="A1" t="s">
        <v>1</v>
      </c>
      <c r="B1" t="s">
        <v>2</v>
      </c>
      <c r="C1" t="s">
        <v>3</v>
      </c>
    </row>
    <row r="2" spans="1:3" x14ac:dyDescent="0.55000000000000004">
      <c r="A2">
        <v>1</v>
      </c>
      <c r="B2">
        <v>1</v>
      </c>
      <c r="C2">
        <v>1</v>
      </c>
    </row>
    <row r="3" spans="1:3" x14ac:dyDescent="0.55000000000000004">
      <c r="A3" t="s">
        <v>6</v>
      </c>
      <c r="B3">
        <v>2</v>
      </c>
      <c r="C3" t="s">
        <v>7</v>
      </c>
    </row>
    <row r="4" spans="1:3" x14ac:dyDescent="0.55000000000000004">
      <c r="A4">
        <v>3</v>
      </c>
      <c r="B4">
        <v>0</v>
      </c>
      <c r="C4" t="s">
        <v>8</v>
      </c>
    </row>
    <row r="5" spans="1:3" x14ac:dyDescent="0.55000000000000004">
      <c r="A5">
        <v>4</v>
      </c>
      <c r="B5">
        <v>4</v>
      </c>
      <c r="C5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esson4_2_Func">
                <anchor moveWithCells="1" sizeWithCells="1">
                  <from>
                    <xdr:col>4</xdr:col>
                    <xdr:colOff>660400</xdr:colOff>
                    <xdr:row>0</xdr:row>
                    <xdr:rowOff>215900</xdr:rowOff>
                  </from>
                  <to>
                    <xdr:col>7</xdr:col>
                    <xdr:colOff>6350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7E448-BF15-45FB-94EC-171F65398113}">
  <sheetPr codeName="Lesson4"/>
  <dimension ref="A1:R45"/>
  <sheetViews>
    <sheetView zoomScale="85" zoomScaleNormal="85" workbookViewId="0"/>
  </sheetViews>
  <sheetFormatPr defaultColWidth="8.83203125" defaultRowHeight="18" x14ac:dyDescent="0.55000000000000004"/>
  <cols>
    <col min="1" max="1" width="5.5" style="2" customWidth="1"/>
    <col min="2" max="2" width="11.6640625" style="2" customWidth="1"/>
    <col min="3" max="3" width="13.58203125" style="2" customWidth="1"/>
    <col min="4" max="4" width="24.1640625" style="2" customWidth="1"/>
    <col min="5" max="6" width="9.4140625" style="2" customWidth="1"/>
    <col min="7" max="7" width="10.5" style="2" bestFit="1" customWidth="1"/>
    <col min="8" max="8" width="7.08203125" style="2" customWidth="1"/>
    <col min="9" max="9" width="10" style="2" customWidth="1"/>
    <col min="10" max="10" width="19.08203125" style="2" customWidth="1"/>
    <col min="11" max="11" width="6.9140625" style="2" customWidth="1"/>
    <col min="12" max="12" width="10.83203125" style="2" customWidth="1"/>
    <col min="13" max="15" width="11.58203125" style="2" bestFit="1" customWidth="1"/>
    <col min="16" max="16" width="12.6640625" style="2" bestFit="1" customWidth="1"/>
    <col min="17" max="17" width="10.1640625" style="2" bestFit="1" customWidth="1"/>
    <col min="18" max="18" width="10.83203125" style="2" bestFit="1" customWidth="1"/>
    <col min="19" max="16384" width="8.83203125" style="2"/>
  </cols>
  <sheetData>
    <row r="1" spans="1:18" ht="26.5" x14ac:dyDescent="0.8">
      <c r="A1" s="1" t="s">
        <v>9</v>
      </c>
    </row>
    <row r="4" spans="1:18" x14ac:dyDescent="0.55000000000000004">
      <c r="A4" s="3" t="s">
        <v>10</v>
      </c>
      <c r="B4" s="3" t="s">
        <v>11</v>
      </c>
      <c r="C4" s="3" t="s">
        <v>12</v>
      </c>
      <c r="D4" s="3" t="s">
        <v>13</v>
      </c>
      <c r="E4" s="3" t="s">
        <v>14</v>
      </c>
      <c r="F4" s="3" t="s">
        <v>15</v>
      </c>
      <c r="G4" s="3" t="s">
        <v>16</v>
      </c>
      <c r="H4" s="3" t="s">
        <v>17</v>
      </c>
      <c r="I4" s="3" t="s">
        <v>18</v>
      </c>
      <c r="J4" s="3" t="s">
        <v>19</v>
      </c>
      <c r="K4" s="3" t="s">
        <v>20</v>
      </c>
      <c r="L4" s="3" t="s">
        <v>21</v>
      </c>
      <c r="M4" s="3" t="s">
        <v>22</v>
      </c>
      <c r="N4" s="3" t="s">
        <v>23</v>
      </c>
      <c r="O4" s="3" t="s">
        <v>24</v>
      </c>
      <c r="P4" s="3" t="s">
        <v>25</v>
      </c>
      <c r="Q4" s="3" t="s">
        <v>26</v>
      </c>
      <c r="R4" s="3" t="s">
        <v>27</v>
      </c>
    </row>
    <row r="5" spans="1:18" x14ac:dyDescent="0.55000000000000004">
      <c r="A5" s="4">
        <v>1</v>
      </c>
      <c r="B5" s="4" t="s">
        <v>28</v>
      </c>
      <c r="C5" s="4" t="s">
        <v>29</v>
      </c>
      <c r="D5" s="4" t="s">
        <v>30</v>
      </c>
      <c r="E5" s="5">
        <v>44331</v>
      </c>
      <c r="F5" s="5">
        <v>44337</v>
      </c>
      <c r="G5" s="5">
        <v>44864</v>
      </c>
      <c r="H5" s="6">
        <v>1.0589999999999999E-2</v>
      </c>
      <c r="I5" s="4" t="s">
        <v>31</v>
      </c>
      <c r="J5" s="4" t="s">
        <v>32</v>
      </c>
      <c r="K5" s="4" t="s">
        <v>33</v>
      </c>
      <c r="L5" s="4">
        <v>1</v>
      </c>
      <c r="M5" s="7">
        <v>239400000</v>
      </c>
      <c r="N5" s="7">
        <v>250005420</v>
      </c>
      <c r="O5" s="7" t="s">
        <v>34</v>
      </c>
      <c r="P5" s="7">
        <v>104.43</v>
      </c>
      <c r="Q5" s="7">
        <v>0</v>
      </c>
      <c r="R5" s="4" t="s">
        <v>34</v>
      </c>
    </row>
    <row r="6" spans="1:18" x14ac:dyDescent="0.55000000000000004">
      <c r="A6" s="8">
        <v>2</v>
      </c>
      <c r="B6" s="8" t="s">
        <v>28</v>
      </c>
      <c r="C6" s="8" t="s">
        <v>35</v>
      </c>
      <c r="D6" s="8" t="s">
        <v>36</v>
      </c>
      <c r="E6" s="9">
        <v>44317</v>
      </c>
      <c r="F6" s="9">
        <v>44324</v>
      </c>
      <c r="G6" s="9">
        <v>45747</v>
      </c>
      <c r="H6" s="10">
        <v>1.3999999999999999E-2</v>
      </c>
      <c r="I6" s="8" t="s">
        <v>31</v>
      </c>
      <c r="J6" s="8" t="s">
        <v>37</v>
      </c>
      <c r="K6" s="8" t="s">
        <v>33</v>
      </c>
      <c r="L6" s="8">
        <v>1</v>
      </c>
      <c r="M6" s="11" t="s">
        <v>34</v>
      </c>
      <c r="N6" s="11" t="s">
        <v>34</v>
      </c>
      <c r="O6" s="11">
        <v>5000000000</v>
      </c>
      <c r="P6" s="11">
        <v>106.181</v>
      </c>
      <c r="Q6" s="11">
        <v>240774890</v>
      </c>
      <c r="R6" s="8" t="s">
        <v>38</v>
      </c>
    </row>
    <row r="7" spans="1:18" x14ac:dyDescent="0.55000000000000004">
      <c r="A7" s="4">
        <v>3</v>
      </c>
      <c r="B7" s="8" t="s">
        <v>28</v>
      </c>
      <c r="C7" s="4" t="s">
        <v>39</v>
      </c>
      <c r="D7" s="8" t="s">
        <v>40</v>
      </c>
      <c r="E7" s="9">
        <v>44317</v>
      </c>
      <c r="F7" s="9">
        <v>44324</v>
      </c>
      <c r="G7" s="9">
        <v>45747</v>
      </c>
      <c r="H7" s="10">
        <v>1.3999999999999999E-2</v>
      </c>
      <c r="I7" s="8" t="s">
        <v>31</v>
      </c>
      <c r="J7" s="8" t="s">
        <v>37</v>
      </c>
      <c r="K7" s="8" t="s">
        <v>33</v>
      </c>
      <c r="L7" s="8">
        <v>1</v>
      </c>
      <c r="M7" s="11" t="s">
        <v>34</v>
      </c>
      <c r="N7" s="11" t="s">
        <v>34</v>
      </c>
      <c r="O7" s="11">
        <v>5000000000</v>
      </c>
      <c r="P7" s="11">
        <v>106.15300000000001</v>
      </c>
      <c r="Q7" s="11">
        <v>239374890</v>
      </c>
      <c r="R7" s="8" t="s">
        <v>38</v>
      </c>
    </row>
    <row r="8" spans="1:18" x14ac:dyDescent="0.55000000000000004">
      <c r="A8" s="8">
        <v>4</v>
      </c>
      <c r="B8" s="8" t="s">
        <v>28</v>
      </c>
      <c r="C8" s="8" t="s">
        <v>41</v>
      </c>
      <c r="D8" s="8" t="s">
        <v>42</v>
      </c>
      <c r="E8" s="9">
        <v>44318</v>
      </c>
      <c r="F8" s="9">
        <v>44325</v>
      </c>
      <c r="G8" s="9">
        <v>45894</v>
      </c>
      <c r="H8" s="10">
        <v>8.3999999999999995E-3</v>
      </c>
      <c r="I8" s="8" t="s">
        <v>31</v>
      </c>
      <c r="J8" s="8" t="s">
        <v>43</v>
      </c>
      <c r="K8" s="8" t="s">
        <v>33</v>
      </c>
      <c r="L8" s="8">
        <v>1</v>
      </c>
      <c r="M8" s="11" t="s">
        <v>34</v>
      </c>
      <c r="N8" s="11" t="s">
        <v>34</v>
      </c>
      <c r="O8" s="11">
        <v>9772000</v>
      </c>
      <c r="P8" s="11">
        <v>100</v>
      </c>
      <c r="Q8" s="11">
        <v>0</v>
      </c>
      <c r="R8" s="8" t="s">
        <v>38</v>
      </c>
    </row>
    <row r="9" spans="1:18" x14ac:dyDescent="0.55000000000000004">
      <c r="A9" s="4">
        <v>5</v>
      </c>
      <c r="B9" s="8" t="s">
        <v>28</v>
      </c>
      <c r="C9" s="4" t="s">
        <v>44</v>
      </c>
      <c r="D9" s="8" t="s">
        <v>45</v>
      </c>
      <c r="E9" s="9">
        <v>44318</v>
      </c>
      <c r="F9" s="9">
        <v>44325</v>
      </c>
      <c r="G9" s="9">
        <v>45163</v>
      </c>
      <c r="H9" s="10">
        <v>6.0000000000000001E-3</v>
      </c>
      <c r="I9" s="8" t="s">
        <v>31</v>
      </c>
      <c r="J9" s="8" t="s">
        <v>43</v>
      </c>
      <c r="K9" s="8" t="s">
        <v>33</v>
      </c>
      <c r="L9" s="8">
        <v>1</v>
      </c>
      <c r="M9" s="11" t="s">
        <v>34</v>
      </c>
      <c r="N9" s="11" t="s">
        <v>34</v>
      </c>
      <c r="O9" s="11">
        <v>11097000</v>
      </c>
      <c r="P9" s="11">
        <v>100</v>
      </c>
      <c r="Q9" s="11">
        <v>0</v>
      </c>
      <c r="R9" s="8" t="s">
        <v>38</v>
      </c>
    </row>
    <row r="10" spans="1:18" x14ac:dyDescent="0.55000000000000004">
      <c r="A10" s="8">
        <v>6</v>
      </c>
      <c r="B10" s="8" t="s">
        <v>28</v>
      </c>
      <c r="C10" s="8" t="s">
        <v>46</v>
      </c>
      <c r="D10" s="8" t="s">
        <v>47</v>
      </c>
      <c r="E10" s="9">
        <v>44318</v>
      </c>
      <c r="F10" s="9">
        <v>44325</v>
      </c>
      <c r="G10" s="9">
        <v>44798</v>
      </c>
      <c r="H10" s="10">
        <v>8.0000000000000002E-3</v>
      </c>
      <c r="I10" s="8" t="s">
        <v>31</v>
      </c>
      <c r="J10" s="8" t="s">
        <v>43</v>
      </c>
      <c r="K10" s="8" t="s">
        <v>33</v>
      </c>
      <c r="L10" s="8">
        <v>1</v>
      </c>
      <c r="M10" s="11" t="s">
        <v>34</v>
      </c>
      <c r="N10" s="11" t="s">
        <v>34</v>
      </c>
      <c r="O10" s="11">
        <v>8808000</v>
      </c>
      <c r="P10" s="11">
        <v>100</v>
      </c>
      <c r="Q10" s="11">
        <v>0</v>
      </c>
      <c r="R10" s="8" t="s">
        <v>38</v>
      </c>
    </row>
    <row r="11" spans="1:18" x14ac:dyDescent="0.55000000000000004">
      <c r="A11" s="4">
        <v>7</v>
      </c>
      <c r="B11" s="8" t="s">
        <v>28</v>
      </c>
      <c r="C11" s="4" t="s">
        <v>48</v>
      </c>
      <c r="D11" s="8" t="s">
        <v>49</v>
      </c>
      <c r="E11" s="9">
        <v>44318</v>
      </c>
      <c r="F11" s="9">
        <v>44325</v>
      </c>
      <c r="G11" s="9">
        <v>45163</v>
      </c>
      <c r="H11" s="10">
        <v>7.4000000000000003E-3</v>
      </c>
      <c r="I11" s="8" t="s">
        <v>31</v>
      </c>
      <c r="J11" s="8" t="s">
        <v>43</v>
      </c>
      <c r="K11" s="8" t="s">
        <v>33</v>
      </c>
      <c r="L11" s="8">
        <v>1</v>
      </c>
      <c r="M11" s="11" t="s">
        <v>34</v>
      </c>
      <c r="N11" s="11" t="s">
        <v>34</v>
      </c>
      <c r="O11" s="11">
        <v>3486000</v>
      </c>
      <c r="P11" s="11">
        <v>100</v>
      </c>
      <c r="Q11" s="11">
        <v>0</v>
      </c>
      <c r="R11" s="8" t="s">
        <v>38</v>
      </c>
    </row>
    <row r="12" spans="1:18" x14ac:dyDescent="0.55000000000000004">
      <c r="A12" s="8">
        <v>8</v>
      </c>
      <c r="B12" s="8" t="s">
        <v>28</v>
      </c>
      <c r="C12" s="8" t="s">
        <v>50</v>
      </c>
      <c r="D12" s="8" t="s">
        <v>51</v>
      </c>
      <c r="E12" s="9">
        <v>44318</v>
      </c>
      <c r="F12" s="9">
        <v>44325</v>
      </c>
      <c r="G12" s="9">
        <v>45529</v>
      </c>
      <c r="H12" s="10">
        <v>8.1000000000000013E-3</v>
      </c>
      <c r="I12" s="8" t="s">
        <v>31</v>
      </c>
      <c r="J12" s="8" t="s">
        <v>43</v>
      </c>
      <c r="K12" s="8" t="s">
        <v>33</v>
      </c>
      <c r="L12" s="8">
        <v>1</v>
      </c>
      <c r="M12" s="11" t="s">
        <v>34</v>
      </c>
      <c r="N12" s="11" t="s">
        <v>34</v>
      </c>
      <c r="O12" s="11">
        <v>8380000</v>
      </c>
      <c r="P12" s="11">
        <v>100</v>
      </c>
      <c r="Q12" s="11">
        <v>0</v>
      </c>
      <c r="R12" s="8" t="s">
        <v>38</v>
      </c>
    </row>
    <row r="13" spans="1:18" x14ac:dyDescent="0.55000000000000004">
      <c r="A13" s="4">
        <v>9</v>
      </c>
      <c r="B13" s="8" t="s">
        <v>28</v>
      </c>
      <c r="C13" s="4" t="s">
        <v>52</v>
      </c>
      <c r="D13" s="8" t="s">
        <v>53</v>
      </c>
      <c r="E13" s="9">
        <v>44318</v>
      </c>
      <c r="F13" s="9">
        <v>44325</v>
      </c>
      <c r="G13" s="9">
        <v>45894</v>
      </c>
      <c r="H13" s="10">
        <v>7.4000000000000003E-3</v>
      </c>
      <c r="I13" s="8" t="s">
        <v>31</v>
      </c>
      <c r="J13" s="8" t="s">
        <v>43</v>
      </c>
      <c r="K13" s="8" t="s">
        <v>33</v>
      </c>
      <c r="L13" s="8">
        <v>1</v>
      </c>
      <c r="M13" s="11" t="s">
        <v>34</v>
      </c>
      <c r="N13" s="11" t="s">
        <v>34</v>
      </c>
      <c r="O13" s="11">
        <v>2368000</v>
      </c>
      <c r="P13" s="11">
        <v>100</v>
      </c>
      <c r="Q13" s="11">
        <v>0</v>
      </c>
      <c r="R13" s="8" t="s">
        <v>38</v>
      </c>
    </row>
    <row r="14" spans="1:18" x14ac:dyDescent="0.55000000000000004">
      <c r="A14" s="8">
        <v>10</v>
      </c>
      <c r="B14" s="8" t="s">
        <v>28</v>
      </c>
      <c r="C14" s="8" t="s">
        <v>54</v>
      </c>
      <c r="D14" s="8" t="s">
        <v>55</v>
      </c>
      <c r="E14" s="9">
        <v>44323</v>
      </c>
      <c r="F14" s="9">
        <v>44326</v>
      </c>
      <c r="G14" s="9">
        <v>45894</v>
      </c>
      <c r="H14" s="10">
        <v>2.7800000000000004E-3</v>
      </c>
      <c r="I14" s="8" t="s">
        <v>31</v>
      </c>
      <c r="J14" s="8" t="s">
        <v>56</v>
      </c>
      <c r="K14" s="8" t="s">
        <v>33</v>
      </c>
      <c r="L14" s="8">
        <v>1</v>
      </c>
      <c r="M14" s="11" t="s">
        <v>34</v>
      </c>
      <c r="N14" s="11" t="s">
        <v>34</v>
      </c>
      <c r="O14" s="11">
        <v>2000000000</v>
      </c>
      <c r="P14" s="11">
        <v>100.202</v>
      </c>
      <c r="Q14" s="11">
        <v>3228701</v>
      </c>
      <c r="R14" s="8" t="s">
        <v>38</v>
      </c>
    </row>
    <row r="15" spans="1:18" x14ac:dyDescent="0.55000000000000004">
      <c r="A15" s="4">
        <v>11</v>
      </c>
      <c r="B15" s="8" t="s">
        <v>28</v>
      </c>
      <c r="C15" s="4" t="s">
        <v>57</v>
      </c>
      <c r="D15" s="8" t="s">
        <v>58</v>
      </c>
      <c r="E15" s="9">
        <v>44323</v>
      </c>
      <c r="F15" s="9">
        <v>44326</v>
      </c>
      <c r="G15" s="9">
        <v>45163</v>
      </c>
      <c r="H15" s="10">
        <v>3.13E-3</v>
      </c>
      <c r="I15" s="8" t="s">
        <v>31</v>
      </c>
      <c r="J15" s="8" t="s">
        <v>56</v>
      </c>
      <c r="K15" s="8" t="s">
        <v>33</v>
      </c>
      <c r="L15" s="8">
        <v>1</v>
      </c>
      <c r="M15" s="11" t="s">
        <v>34</v>
      </c>
      <c r="N15" s="11" t="s">
        <v>34</v>
      </c>
      <c r="O15" s="11">
        <v>900000000</v>
      </c>
      <c r="P15" s="11">
        <v>100.492</v>
      </c>
      <c r="Q15" s="11">
        <v>3730647</v>
      </c>
      <c r="R15" s="8" t="s">
        <v>38</v>
      </c>
    </row>
    <row r="16" spans="1:18" x14ac:dyDescent="0.55000000000000004">
      <c r="A16" s="8">
        <v>12</v>
      </c>
      <c r="B16" s="8" t="s">
        <v>28</v>
      </c>
      <c r="C16" s="8" t="s">
        <v>59</v>
      </c>
      <c r="D16" s="8" t="s">
        <v>60</v>
      </c>
      <c r="E16" s="9">
        <v>44323</v>
      </c>
      <c r="F16" s="9">
        <v>44326</v>
      </c>
      <c r="G16" s="9">
        <v>45163</v>
      </c>
      <c r="H16" s="10">
        <v>4.3600000000000002E-3</v>
      </c>
      <c r="I16" s="8" t="s">
        <v>31</v>
      </c>
      <c r="J16" s="8" t="s">
        <v>56</v>
      </c>
      <c r="K16" s="8" t="s">
        <v>33</v>
      </c>
      <c r="L16" s="8">
        <v>1</v>
      </c>
      <c r="M16" s="11" t="s">
        <v>34</v>
      </c>
      <c r="N16" s="11" t="s">
        <v>34</v>
      </c>
      <c r="O16" s="11">
        <v>600000000</v>
      </c>
      <c r="P16" s="11">
        <v>100.77200000000001</v>
      </c>
      <c r="Q16" s="11">
        <v>3531562</v>
      </c>
      <c r="R16" s="8" t="s">
        <v>38</v>
      </c>
    </row>
    <row r="17" spans="1:18" x14ac:dyDescent="0.55000000000000004">
      <c r="A17" s="4">
        <v>13</v>
      </c>
      <c r="B17" s="8" t="s">
        <v>28</v>
      </c>
      <c r="C17" s="4" t="s">
        <v>61</v>
      </c>
      <c r="D17" s="8" t="s">
        <v>62</v>
      </c>
      <c r="E17" s="9">
        <v>44324</v>
      </c>
      <c r="F17" s="9">
        <v>44327</v>
      </c>
      <c r="G17" s="9">
        <v>44834</v>
      </c>
      <c r="H17" s="10">
        <v>1.1699999999999999E-2</v>
      </c>
      <c r="I17" s="8" t="s">
        <v>31</v>
      </c>
      <c r="J17" s="8" t="s">
        <v>32</v>
      </c>
      <c r="K17" s="8" t="s">
        <v>33</v>
      </c>
      <c r="L17" s="8">
        <v>1</v>
      </c>
      <c r="M17" s="11">
        <v>100000000</v>
      </c>
      <c r="N17" s="11">
        <v>104809000</v>
      </c>
      <c r="O17" s="11" t="s">
        <v>34</v>
      </c>
      <c r="P17" s="11">
        <v>104.809</v>
      </c>
      <c r="Q17" s="11">
        <v>0</v>
      </c>
      <c r="R17" s="8" t="s">
        <v>34</v>
      </c>
    </row>
    <row r="18" spans="1:18" x14ac:dyDescent="0.55000000000000004">
      <c r="A18" s="8">
        <v>14</v>
      </c>
      <c r="B18" s="8" t="s">
        <v>28</v>
      </c>
      <c r="C18" s="8" t="s">
        <v>63</v>
      </c>
      <c r="D18" s="8" t="s">
        <v>64</v>
      </c>
      <c r="E18" s="9">
        <v>44325</v>
      </c>
      <c r="F18" s="9">
        <v>44330</v>
      </c>
      <c r="G18" s="9">
        <v>44834</v>
      </c>
      <c r="H18" s="10">
        <v>1.315E-2</v>
      </c>
      <c r="I18" s="8" t="s">
        <v>31</v>
      </c>
      <c r="J18" s="8" t="s">
        <v>32</v>
      </c>
      <c r="K18" s="8" t="s">
        <v>33</v>
      </c>
      <c r="L18" s="8">
        <v>1</v>
      </c>
      <c r="M18" s="11">
        <v>100000000</v>
      </c>
      <c r="N18" s="11">
        <v>105543000</v>
      </c>
      <c r="O18" s="11" t="s">
        <v>34</v>
      </c>
      <c r="P18" s="11">
        <v>105.54300000000001</v>
      </c>
      <c r="Q18" s="11">
        <v>0</v>
      </c>
      <c r="R18" s="8" t="s">
        <v>34</v>
      </c>
    </row>
    <row r="19" spans="1:18" x14ac:dyDescent="0.55000000000000004">
      <c r="A19" s="4">
        <v>15</v>
      </c>
      <c r="B19" s="8" t="s">
        <v>28</v>
      </c>
      <c r="C19" s="4" t="s">
        <v>65</v>
      </c>
      <c r="D19" s="8" t="s">
        <v>66</v>
      </c>
      <c r="E19" s="9">
        <v>44326</v>
      </c>
      <c r="F19" s="9">
        <v>44331</v>
      </c>
      <c r="G19" s="9">
        <v>45229</v>
      </c>
      <c r="H19" s="10">
        <v>1.2699999999999999E-2</v>
      </c>
      <c r="I19" s="8" t="s">
        <v>31</v>
      </c>
      <c r="J19" s="8" t="s">
        <v>32</v>
      </c>
      <c r="K19" s="8" t="s">
        <v>33</v>
      </c>
      <c r="L19" s="8">
        <v>1</v>
      </c>
      <c r="M19" s="11">
        <v>100000000</v>
      </c>
      <c r="N19" s="11">
        <v>105305000</v>
      </c>
      <c r="O19" s="11" t="s">
        <v>34</v>
      </c>
      <c r="P19" s="11">
        <v>105.30500000000001</v>
      </c>
      <c r="Q19" s="11">
        <v>0</v>
      </c>
      <c r="R19" s="8" t="s">
        <v>34</v>
      </c>
    </row>
    <row r="20" spans="1:18" x14ac:dyDescent="0.55000000000000004">
      <c r="A20" s="8">
        <v>16</v>
      </c>
      <c r="B20" s="8" t="s">
        <v>28</v>
      </c>
      <c r="C20" s="8" t="s">
        <v>67</v>
      </c>
      <c r="D20" s="8" t="s">
        <v>68</v>
      </c>
      <c r="E20" s="9">
        <v>44327</v>
      </c>
      <c r="F20" s="9">
        <v>44332</v>
      </c>
      <c r="G20" s="9">
        <v>45229</v>
      </c>
      <c r="H20" s="10">
        <v>1.3700000000000001E-3</v>
      </c>
      <c r="I20" s="8" t="s">
        <v>31</v>
      </c>
      <c r="J20" s="8" t="s">
        <v>32</v>
      </c>
      <c r="K20" s="8" t="s">
        <v>33</v>
      </c>
      <c r="L20" s="8">
        <v>1</v>
      </c>
      <c r="M20" s="11">
        <v>100000000</v>
      </c>
      <c r="N20" s="11">
        <v>99739000</v>
      </c>
      <c r="O20" s="11" t="s">
        <v>34</v>
      </c>
      <c r="P20" s="11">
        <v>99.739000000000004</v>
      </c>
      <c r="Q20" s="11">
        <v>0</v>
      </c>
      <c r="R20" s="8" t="s">
        <v>34</v>
      </c>
    </row>
    <row r="21" spans="1:18" x14ac:dyDescent="0.55000000000000004">
      <c r="A21" s="4">
        <v>17</v>
      </c>
      <c r="B21" s="8" t="s">
        <v>28</v>
      </c>
      <c r="C21" s="4" t="s">
        <v>69</v>
      </c>
      <c r="D21" s="8" t="s">
        <v>70</v>
      </c>
      <c r="E21" s="9">
        <v>44330</v>
      </c>
      <c r="F21" s="9">
        <v>44333</v>
      </c>
      <c r="G21" s="9">
        <v>45229</v>
      </c>
      <c r="H21" s="10">
        <v>5.6999999999999993E-3</v>
      </c>
      <c r="I21" s="8" t="s">
        <v>31</v>
      </c>
      <c r="J21" s="8" t="s">
        <v>43</v>
      </c>
      <c r="K21" s="8" t="s">
        <v>33</v>
      </c>
      <c r="L21" s="8">
        <v>1</v>
      </c>
      <c r="M21" s="11">
        <v>1000000000</v>
      </c>
      <c r="N21" s="11">
        <v>1017430000</v>
      </c>
      <c r="O21" s="11" t="s">
        <v>34</v>
      </c>
      <c r="P21" s="11">
        <v>101.74299999999999</v>
      </c>
      <c r="Q21" s="11">
        <v>0</v>
      </c>
      <c r="R21" s="8" t="s">
        <v>34</v>
      </c>
    </row>
    <row r="22" spans="1:18" x14ac:dyDescent="0.55000000000000004">
      <c r="A22" s="8">
        <v>18</v>
      </c>
      <c r="B22" s="8" t="s">
        <v>28</v>
      </c>
      <c r="C22" s="8" t="s">
        <v>71</v>
      </c>
      <c r="D22" s="8" t="s">
        <v>72</v>
      </c>
      <c r="E22" s="9">
        <v>44331</v>
      </c>
      <c r="F22" s="9">
        <v>44334</v>
      </c>
      <c r="G22" s="9">
        <v>45229</v>
      </c>
      <c r="H22" s="10">
        <v>5.1000000000000004E-3</v>
      </c>
      <c r="I22" s="8" t="s">
        <v>73</v>
      </c>
      <c r="J22" s="8" t="s">
        <v>43</v>
      </c>
      <c r="K22" s="8" t="s">
        <v>33</v>
      </c>
      <c r="L22" s="8">
        <v>1</v>
      </c>
      <c r="M22" s="11" t="s">
        <v>34</v>
      </c>
      <c r="N22" s="11" t="s">
        <v>34</v>
      </c>
      <c r="O22" s="11">
        <v>2000000000</v>
      </c>
      <c r="P22" s="11">
        <v>100</v>
      </c>
      <c r="Q22" s="11">
        <v>-143623</v>
      </c>
      <c r="R22" s="8" t="s">
        <v>73</v>
      </c>
    </row>
    <row r="23" spans="1:18" x14ac:dyDescent="0.55000000000000004">
      <c r="A23" s="4">
        <v>19</v>
      </c>
      <c r="B23" s="8" t="s">
        <v>28</v>
      </c>
      <c r="C23" s="4" t="s">
        <v>74</v>
      </c>
      <c r="D23" s="8" t="s">
        <v>75</v>
      </c>
      <c r="E23" s="9">
        <v>44332</v>
      </c>
      <c r="F23" s="9">
        <v>44337</v>
      </c>
      <c r="G23" s="9">
        <v>45229</v>
      </c>
      <c r="H23" s="10">
        <v>4.5000000000000005E-3</v>
      </c>
      <c r="I23" s="8" t="s">
        <v>73</v>
      </c>
      <c r="J23" s="8" t="s">
        <v>43</v>
      </c>
      <c r="K23" s="8" t="s">
        <v>33</v>
      </c>
      <c r="L23" s="8">
        <v>1</v>
      </c>
      <c r="M23" s="11" t="s">
        <v>34</v>
      </c>
      <c r="N23" s="11" t="s">
        <v>34</v>
      </c>
      <c r="O23" s="11">
        <v>200000000</v>
      </c>
      <c r="P23" s="11">
        <v>100</v>
      </c>
      <c r="Q23" s="11">
        <v>-13352</v>
      </c>
      <c r="R23" s="8" t="s">
        <v>73</v>
      </c>
    </row>
    <row r="24" spans="1:18" x14ac:dyDescent="0.55000000000000004">
      <c r="A24" s="8">
        <v>20</v>
      </c>
      <c r="B24" s="8" t="s">
        <v>28</v>
      </c>
      <c r="C24" s="8" t="s">
        <v>76</v>
      </c>
      <c r="D24" s="8" t="s">
        <v>77</v>
      </c>
      <c r="E24" s="9">
        <v>44333</v>
      </c>
      <c r="F24" s="9">
        <v>44338</v>
      </c>
      <c r="G24" s="9">
        <v>45229</v>
      </c>
      <c r="H24" s="10">
        <v>3.5999999999999999E-3</v>
      </c>
      <c r="I24" s="8" t="s">
        <v>73</v>
      </c>
      <c r="J24" s="8" t="s">
        <v>32</v>
      </c>
      <c r="K24" s="8" t="s">
        <v>33</v>
      </c>
      <c r="L24" s="8">
        <v>1</v>
      </c>
      <c r="M24" s="11" t="s">
        <v>34</v>
      </c>
      <c r="N24" s="11" t="s">
        <v>34</v>
      </c>
      <c r="O24" s="11">
        <v>500000000</v>
      </c>
      <c r="P24" s="11">
        <v>100</v>
      </c>
      <c r="Q24" s="11">
        <v>-24412</v>
      </c>
      <c r="R24" s="8" t="s">
        <v>73</v>
      </c>
    </row>
    <row r="25" spans="1:18" x14ac:dyDescent="0.55000000000000004">
      <c r="A25" s="4">
        <v>21</v>
      </c>
      <c r="B25" s="8" t="s">
        <v>28</v>
      </c>
      <c r="C25" s="4" t="s">
        <v>78</v>
      </c>
      <c r="D25" s="8" t="s">
        <v>79</v>
      </c>
      <c r="E25" s="9">
        <v>44334</v>
      </c>
      <c r="F25" s="9">
        <v>44339</v>
      </c>
      <c r="G25" s="9">
        <v>45229</v>
      </c>
      <c r="H25" s="10">
        <v>1.6300000000000002E-3</v>
      </c>
      <c r="I25" s="8" t="s">
        <v>73</v>
      </c>
      <c r="J25" s="8" t="s">
        <v>43</v>
      </c>
      <c r="K25" s="8" t="s">
        <v>33</v>
      </c>
      <c r="L25" s="8">
        <v>1</v>
      </c>
      <c r="M25" s="11" t="s">
        <v>34</v>
      </c>
      <c r="N25" s="11" t="s">
        <v>34</v>
      </c>
      <c r="O25" s="11">
        <v>2500000000</v>
      </c>
      <c r="P25" s="11">
        <v>100</v>
      </c>
      <c r="Q25" s="11">
        <v>61804</v>
      </c>
      <c r="R25" s="8" t="s">
        <v>73</v>
      </c>
    </row>
    <row r="26" spans="1:18" x14ac:dyDescent="0.55000000000000004">
      <c r="A26" s="8">
        <v>22</v>
      </c>
      <c r="B26" s="8" t="s">
        <v>28</v>
      </c>
      <c r="C26" s="8" t="s">
        <v>80</v>
      </c>
      <c r="D26" s="8" t="s">
        <v>81</v>
      </c>
      <c r="E26" s="9">
        <v>44337</v>
      </c>
      <c r="F26" s="9">
        <v>44340</v>
      </c>
      <c r="G26" s="9">
        <v>45229</v>
      </c>
      <c r="H26" s="10">
        <v>3.4999999999999996E-3</v>
      </c>
      <c r="I26" s="8" t="s">
        <v>73</v>
      </c>
      <c r="J26" s="8" t="s">
        <v>43</v>
      </c>
      <c r="K26" s="8" t="s">
        <v>33</v>
      </c>
      <c r="L26" s="8">
        <v>1</v>
      </c>
      <c r="M26" s="11" t="s">
        <v>34</v>
      </c>
      <c r="N26" s="11" t="s">
        <v>34</v>
      </c>
      <c r="O26" s="11">
        <v>800000000</v>
      </c>
      <c r="P26" s="11">
        <v>100</v>
      </c>
      <c r="Q26" s="11">
        <v>-8869</v>
      </c>
      <c r="R26" s="8" t="s">
        <v>73</v>
      </c>
    </row>
    <row r="27" spans="1:18" x14ac:dyDescent="0.55000000000000004">
      <c r="A27" s="4">
        <v>23</v>
      </c>
      <c r="B27" s="8" t="s">
        <v>28</v>
      </c>
      <c r="C27" s="4" t="s">
        <v>82</v>
      </c>
      <c r="D27" s="8" t="s">
        <v>83</v>
      </c>
      <c r="E27" s="9">
        <v>44338</v>
      </c>
      <c r="F27" s="9">
        <v>44341</v>
      </c>
      <c r="G27" s="9">
        <v>45229</v>
      </c>
      <c r="H27" s="10">
        <v>1.49E-2</v>
      </c>
      <c r="I27" s="8" t="s">
        <v>73</v>
      </c>
      <c r="J27" s="8" t="s">
        <v>43</v>
      </c>
      <c r="K27" s="8" t="s">
        <v>33</v>
      </c>
      <c r="L27" s="8">
        <v>1</v>
      </c>
      <c r="M27" s="11" t="s">
        <v>34</v>
      </c>
      <c r="N27" s="11" t="s">
        <v>34</v>
      </c>
      <c r="O27" s="11">
        <v>500000000</v>
      </c>
      <c r="P27" s="11">
        <v>100</v>
      </c>
      <c r="Q27" s="11">
        <v>-330102</v>
      </c>
      <c r="R27" s="8" t="s">
        <v>73</v>
      </c>
    </row>
    <row r="28" spans="1:18" x14ac:dyDescent="0.55000000000000004">
      <c r="A28" s="8">
        <v>24</v>
      </c>
      <c r="B28" s="8" t="s">
        <v>28</v>
      </c>
      <c r="C28" s="8" t="s">
        <v>84</v>
      </c>
      <c r="D28" s="8" t="s">
        <v>85</v>
      </c>
      <c r="E28" s="9">
        <v>44339</v>
      </c>
      <c r="F28" s="9">
        <v>44344</v>
      </c>
      <c r="G28" s="9">
        <v>45229</v>
      </c>
      <c r="H28" s="10">
        <v>5.6999999999999993E-3</v>
      </c>
      <c r="I28" s="8" t="s">
        <v>73</v>
      </c>
      <c r="J28" s="8" t="s">
        <v>43</v>
      </c>
      <c r="K28" s="8" t="s">
        <v>33</v>
      </c>
      <c r="L28" s="8">
        <v>1</v>
      </c>
      <c r="M28" s="11" t="s">
        <v>34</v>
      </c>
      <c r="N28" s="11" t="s">
        <v>34</v>
      </c>
      <c r="O28" s="11">
        <v>600000000</v>
      </c>
      <c r="P28" s="11">
        <v>100</v>
      </c>
      <c r="Q28" s="11">
        <v>-101189</v>
      </c>
      <c r="R28" s="8" t="s">
        <v>73</v>
      </c>
    </row>
    <row r="29" spans="1:18" x14ac:dyDescent="0.55000000000000004">
      <c r="A29" s="4">
        <v>25</v>
      </c>
      <c r="B29" s="8" t="s">
        <v>28</v>
      </c>
      <c r="C29" s="4" t="s">
        <v>86</v>
      </c>
      <c r="D29" s="8" t="s">
        <v>87</v>
      </c>
      <c r="E29" s="9">
        <v>44340</v>
      </c>
      <c r="F29" s="9">
        <v>44345</v>
      </c>
      <c r="G29" s="9">
        <v>45229</v>
      </c>
      <c r="H29" s="10">
        <v>1.34E-2</v>
      </c>
      <c r="I29" s="8" t="s">
        <v>73</v>
      </c>
      <c r="J29" s="8" t="s">
        <v>32</v>
      </c>
      <c r="K29" s="8" t="s">
        <v>33</v>
      </c>
      <c r="L29" s="8">
        <v>1</v>
      </c>
      <c r="M29" s="11" t="s">
        <v>34</v>
      </c>
      <c r="N29" s="11" t="s">
        <v>34</v>
      </c>
      <c r="O29" s="11">
        <v>200000000</v>
      </c>
      <c r="P29" s="11">
        <v>100</v>
      </c>
      <c r="Q29" s="11">
        <v>-126334</v>
      </c>
      <c r="R29" s="8" t="s">
        <v>73</v>
      </c>
    </row>
    <row r="30" spans="1:18" x14ac:dyDescent="0.55000000000000004">
      <c r="A30" s="8">
        <v>26</v>
      </c>
      <c r="B30" s="8" t="s">
        <v>28</v>
      </c>
      <c r="C30" s="8" t="s">
        <v>88</v>
      </c>
      <c r="D30" s="8" t="s">
        <v>89</v>
      </c>
      <c r="E30" s="9">
        <v>44341</v>
      </c>
      <c r="F30" s="9">
        <v>44346</v>
      </c>
      <c r="G30" s="9">
        <v>45229</v>
      </c>
      <c r="H30" s="10">
        <v>9.0000000000000011E-3</v>
      </c>
      <c r="I30" s="8" t="s">
        <v>31</v>
      </c>
      <c r="J30" s="8" t="s">
        <v>43</v>
      </c>
      <c r="K30" s="8" t="s">
        <v>33</v>
      </c>
      <c r="L30" s="8">
        <v>1</v>
      </c>
      <c r="M30" s="11">
        <v>800000000</v>
      </c>
      <c r="N30" s="11">
        <v>800000000</v>
      </c>
      <c r="O30" s="11" t="s">
        <v>34</v>
      </c>
      <c r="P30" s="11">
        <v>100</v>
      </c>
      <c r="Q30" s="11">
        <v>0</v>
      </c>
      <c r="R30" s="8" t="s">
        <v>34</v>
      </c>
    </row>
    <row r="31" spans="1:18" x14ac:dyDescent="0.55000000000000004">
      <c r="A31" s="4">
        <v>27</v>
      </c>
      <c r="B31" s="8" t="s">
        <v>28</v>
      </c>
      <c r="C31" s="4" t="s">
        <v>90</v>
      </c>
      <c r="D31" s="8" t="s">
        <v>91</v>
      </c>
      <c r="E31" s="9">
        <v>44344</v>
      </c>
      <c r="F31" s="9">
        <v>44347</v>
      </c>
      <c r="G31" s="9">
        <v>45229</v>
      </c>
      <c r="H31" s="10">
        <v>9.0000000000000011E-3</v>
      </c>
      <c r="I31" s="8" t="s">
        <v>31</v>
      </c>
      <c r="J31" s="8" t="s">
        <v>43</v>
      </c>
      <c r="K31" s="8" t="s">
        <v>33</v>
      </c>
      <c r="L31" s="8">
        <v>1</v>
      </c>
      <c r="M31" s="11">
        <v>400000000</v>
      </c>
      <c r="N31" s="11">
        <v>400000000</v>
      </c>
      <c r="O31" s="11" t="s">
        <v>34</v>
      </c>
      <c r="P31" s="11">
        <v>100</v>
      </c>
      <c r="Q31" s="11">
        <v>0</v>
      </c>
      <c r="R31" s="8" t="s">
        <v>34</v>
      </c>
    </row>
    <row r="32" spans="1:18" x14ac:dyDescent="0.55000000000000004">
      <c r="A32" s="8">
        <v>28</v>
      </c>
      <c r="B32" s="8" t="s">
        <v>28</v>
      </c>
      <c r="C32" s="8" t="s">
        <v>92</v>
      </c>
      <c r="D32" s="8" t="s">
        <v>93</v>
      </c>
      <c r="E32" s="5">
        <v>44331</v>
      </c>
      <c r="F32" s="5">
        <v>44337</v>
      </c>
      <c r="G32" s="5">
        <v>44864</v>
      </c>
      <c r="H32" s="10">
        <v>6.6E-3</v>
      </c>
      <c r="I32" s="8" t="s">
        <v>31</v>
      </c>
      <c r="J32" s="8" t="s">
        <v>32</v>
      </c>
      <c r="K32" s="8" t="s">
        <v>33</v>
      </c>
      <c r="L32" s="8">
        <v>1</v>
      </c>
      <c r="M32" s="11" t="s">
        <v>34</v>
      </c>
      <c r="N32" s="11" t="s">
        <v>34</v>
      </c>
      <c r="O32" s="11">
        <v>1312000000</v>
      </c>
      <c r="P32" s="11">
        <v>100.369</v>
      </c>
      <c r="Q32" s="11">
        <v>1925453</v>
      </c>
      <c r="R32" s="8" t="s">
        <v>38</v>
      </c>
    </row>
    <row r="33" spans="1:18" x14ac:dyDescent="0.55000000000000004">
      <c r="A33" s="4">
        <v>29</v>
      </c>
      <c r="B33" s="8" t="s">
        <v>28</v>
      </c>
      <c r="C33" s="4" t="s">
        <v>94</v>
      </c>
      <c r="D33" s="8" t="s">
        <v>95</v>
      </c>
      <c r="E33" s="5">
        <v>44331</v>
      </c>
      <c r="F33" s="5">
        <v>44337</v>
      </c>
      <c r="G33" s="5">
        <v>44864</v>
      </c>
      <c r="H33" s="10">
        <v>1.72E-3</v>
      </c>
      <c r="I33" s="8" t="s">
        <v>31</v>
      </c>
      <c r="J33" s="8" t="s">
        <v>32</v>
      </c>
      <c r="K33" s="8" t="s">
        <v>33</v>
      </c>
      <c r="L33" s="8">
        <v>1</v>
      </c>
      <c r="M33" s="11">
        <v>1300000000</v>
      </c>
      <c r="N33" s="11">
        <v>1297738000</v>
      </c>
      <c r="O33" s="11" t="s">
        <v>34</v>
      </c>
      <c r="P33" s="11">
        <v>99.825999999999993</v>
      </c>
      <c r="Q33" s="11">
        <v>0</v>
      </c>
      <c r="R33" s="8" t="s">
        <v>34</v>
      </c>
    </row>
    <row r="34" spans="1:18" x14ac:dyDescent="0.55000000000000004">
      <c r="A34" s="8">
        <v>30</v>
      </c>
      <c r="B34" s="8" t="s">
        <v>28</v>
      </c>
      <c r="C34" s="8" t="s">
        <v>96</v>
      </c>
      <c r="D34" s="8" t="s">
        <v>97</v>
      </c>
      <c r="E34" s="9">
        <v>44334</v>
      </c>
      <c r="F34" s="9">
        <v>44275</v>
      </c>
      <c r="G34" s="9">
        <v>45894</v>
      </c>
      <c r="H34" s="10">
        <v>1.3100000000000001E-2</v>
      </c>
      <c r="I34" s="8" t="s">
        <v>73</v>
      </c>
      <c r="J34" s="8" t="s">
        <v>56</v>
      </c>
      <c r="K34" s="8" t="s">
        <v>33</v>
      </c>
      <c r="L34" s="8">
        <v>1</v>
      </c>
      <c r="M34" s="11" t="s">
        <v>34</v>
      </c>
      <c r="N34" s="11" t="s">
        <v>34</v>
      </c>
      <c r="O34" s="11">
        <v>200000000</v>
      </c>
      <c r="P34" s="11">
        <v>100</v>
      </c>
      <c r="Q34" s="11">
        <v>-151904</v>
      </c>
      <c r="R34" s="8" t="s">
        <v>73</v>
      </c>
    </row>
    <row r="35" spans="1:18" x14ac:dyDescent="0.55000000000000004">
      <c r="A35" s="4">
        <v>31</v>
      </c>
      <c r="B35" s="8" t="s">
        <v>28</v>
      </c>
      <c r="C35" s="4" t="s">
        <v>98</v>
      </c>
      <c r="D35" s="8" t="s">
        <v>99</v>
      </c>
      <c r="E35" s="9">
        <v>44337</v>
      </c>
      <c r="F35" s="9">
        <v>44275</v>
      </c>
      <c r="G35" s="9">
        <v>45894</v>
      </c>
      <c r="H35" s="10">
        <v>3.7499999999999999E-2</v>
      </c>
      <c r="I35" s="8" t="s">
        <v>73</v>
      </c>
      <c r="J35" s="8" t="s">
        <v>56</v>
      </c>
      <c r="K35" s="8" t="s">
        <v>33</v>
      </c>
      <c r="L35" s="8">
        <v>1</v>
      </c>
      <c r="M35" s="11" t="s">
        <v>34</v>
      </c>
      <c r="N35" s="11" t="s">
        <v>34</v>
      </c>
      <c r="O35" s="11">
        <v>600000000</v>
      </c>
      <c r="P35" s="11">
        <v>100</v>
      </c>
      <c r="Q35" s="11">
        <v>-1422135</v>
      </c>
      <c r="R35" s="8" t="s">
        <v>73</v>
      </c>
    </row>
    <row r="36" spans="1:18" x14ac:dyDescent="0.55000000000000004">
      <c r="A36" s="8">
        <v>32</v>
      </c>
      <c r="B36" s="8" t="s">
        <v>28</v>
      </c>
      <c r="C36" s="8" t="s">
        <v>100</v>
      </c>
      <c r="D36" s="8" t="s">
        <v>101</v>
      </c>
      <c r="E36" s="9">
        <v>44338</v>
      </c>
      <c r="F36" s="9">
        <v>44275</v>
      </c>
      <c r="G36" s="9">
        <v>45894</v>
      </c>
      <c r="H36" s="10">
        <v>1.0800000000000001E-2</v>
      </c>
      <c r="I36" s="8" t="s">
        <v>31</v>
      </c>
      <c r="J36" s="8" t="s">
        <v>32</v>
      </c>
      <c r="K36" s="8" t="s">
        <v>33</v>
      </c>
      <c r="L36" s="8">
        <v>1</v>
      </c>
      <c r="M36" s="11">
        <v>100000000</v>
      </c>
      <c r="N36" s="11">
        <v>104561000</v>
      </c>
      <c r="O36" s="11" t="s">
        <v>34</v>
      </c>
      <c r="P36" s="11">
        <v>104.56100000000001</v>
      </c>
      <c r="Q36" s="11">
        <v>0</v>
      </c>
      <c r="R36" s="8" t="s">
        <v>34</v>
      </c>
    </row>
    <row r="37" spans="1:18" x14ac:dyDescent="0.55000000000000004">
      <c r="A37" s="4">
        <v>33</v>
      </c>
      <c r="B37" s="8" t="s">
        <v>102</v>
      </c>
      <c r="C37" s="8" t="s">
        <v>103</v>
      </c>
      <c r="D37" s="8" t="s">
        <v>104</v>
      </c>
      <c r="E37" s="9">
        <v>44331</v>
      </c>
      <c r="F37" s="9">
        <v>44334</v>
      </c>
      <c r="G37" s="9">
        <v>45015</v>
      </c>
      <c r="H37" s="10" t="s">
        <v>105</v>
      </c>
      <c r="I37" s="8" t="s">
        <v>31</v>
      </c>
      <c r="J37" s="8" t="s">
        <v>34</v>
      </c>
      <c r="K37" s="8" t="s">
        <v>33</v>
      </c>
      <c r="L37" s="8">
        <v>1</v>
      </c>
      <c r="M37" s="11" t="s">
        <v>34</v>
      </c>
      <c r="N37" s="11" t="s">
        <v>34</v>
      </c>
      <c r="O37" s="11">
        <v>10</v>
      </c>
      <c r="P37" s="11">
        <v>10743</v>
      </c>
      <c r="Q37" s="11">
        <v>7430</v>
      </c>
      <c r="R37" s="8" t="s">
        <v>38</v>
      </c>
    </row>
    <row r="38" spans="1:18" x14ac:dyDescent="0.55000000000000004">
      <c r="A38" s="8">
        <v>34</v>
      </c>
      <c r="B38" s="8" t="s">
        <v>102</v>
      </c>
      <c r="C38" s="8" t="s">
        <v>106</v>
      </c>
      <c r="D38" s="8" t="s">
        <v>107</v>
      </c>
      <c r="E38" s="9">
        <v>44332</v>
      </c>
      <c r="F38" s="9">
        <v>44337</v>
      </c>
      <c r="G38" s="9">
        <v>45015</v>
      </c>
      <c r="H38" s="10" t="s">
        <v>105</v>
      </c>
      <c r="I38" s="8" t="s">
        <v>31</v>
      </c>
      <c r="J38" s="8" t="s">
        <v>34</v>
      </c>
      <c r="K38" s="8" t="s">
        <v>33</v>
      </c>
      <c r="L38" s="8">
        <v>1</v>
      </c>
      <c r="M38" s="11" t="s">
        <v>34</v>
      </c>
      <c r="N38" s="11" t="s">
        <v>34</v>
      </c>
      <c r="O38" s="11">
        <v>10</v>
      </c>
      <c r="P38" s="11">
        <v>10581</v>
      </c>
      <c r="Q38" s="11">
        <v>5810</v>
      </c>
      <c r="R38" s="8" t="s">
        <v>38</v>
      </c>
    </row>
    <row r="39" spans="1:18" x14ac:dyDescent="0.55000000000000004">
      <c r="A39" s="4">
        <v>35</v>
      </c>
      <c r="B39" s="8" t="s">
        <v>102</v>
      </c>
      <c r="C39" s="8" t="s">
        <v>108</v>
      </c>
      <c r="D39" s="8" t="s">
        <v>109</v>
      </c>
      <c r="E39" s="9">
        <v>44333</v>
      </c>
      <c r="F39" s="9">
        <v>44338</v>
      </c>
      <c r="G39" s="9">
        <v>45015</v>
      </c>
      <c r="H39" s="10" t="s">
        <v>105</v>
      </c>
      <c r="I39" s="8" t="s">
        <v>31</v>
      </c>
      <c r="J39" s="8" t="s">
        <v>34</v>
      </c>
      <c r="K39" s="8" t="s">
        <v>33</v>
      </c>
      <c r="L39" s="8">
        <v>1</v>
      </c>
      <c r="M39" s="11" t="s">
        <v>34</v>
      </c>
      <c r="N39" s="11" t="s">
        <v>34</v>
      </c>
      <c r="O39" s="11">
        <v>10</v>
      </c>
      <c r="P39" s="11">
        <v>10000</v>
      </c>
      <c r="Q39" s="11">
        <v>5810</v>
      </c>
      <c r="R39" s="8" t="s">
        <v>38</v>
      </c>
    </row>
    <row r="40" spans="1:18" x14ac:dyDescent="0.55000000000000004">
      <c r="A40" s="8">
        <v>36</v>
      </c>
      <c r="B40" s="8" t="s">
        <v>110</v>
      </c>
      <c r="C40" s="8" t="s">
        <v>111</v>
      </c>
      <c r="D40" s="8" t="s">
        <v>112</v>
      </c>
      <c r="E40" s="9">
        <v>44334</v>
      </c>
      <c r="F40" s="9">
        <v>44339</v>
      </c>
      <c r="G40" s="9">
        <v>45894</v>
      </c>
      <c r="H40" s="10">
        <v>8.4214000000000008E-3</v>
      </c>
      <c r="I40" s="8" t="s">
        <v>31</v>
      </c>
      <c r="J40" s="8" t="s">
        <v>113</v>
      </c>
      <c r="K40" s="8" t="s">
        <v>33</v>
      </c>
      <c r="L40" s="8">
        <v>1</v>
      </c>
      <c r="M40" s="11" t="s">
        <v>34</v>
      </c>
      <c r="N40" s="11" t="s">
        <v>34</v>
      </c>
      <c r="O40" s="11">
        <v>200000000</v>
      </c>
      <c r="P40" s="11">
        <v>100</v>
      </c>
      <c r="Q40" s="11">
        <v>0</v>
      </c>
      <c r="R40" s="8" t="s">
        <v>38</v>
      </c>
    </row>
    <row r="41" spans="1:18" x14ac:dyDescent="0.55000000000000004">
      <c r="A41" s="4">
        <v>37</v>
      </c>
      <c r="B41" s="8" t="s">
        <v>110</v>
      </c>
      <c r="C41" s="8" t="s">
        <v>114</v>
      </c>
      <c r="D41" s="8" t="s">
        <v>115</v>
      </c>
      <c r="E41" s="9">
        <v>44337</v>
      </c>
      <c r="F41" s="9">
        <v>44340</v>
      </c>
      <c r="G41" s="9">
        <v>45894</v>
      </c>
      <c r="H41" s="10" t="s">
        <v>105</v>
      </c>
      <c r="I41" s="8" t="s">
        <v>31</v>
      </c>
      <c r="J41" s="8" t="s">
        <v>116</v>
      </c>
      <c r="K41" s="8" t="s">
        <v>117</v>
      </c>
      <c r="L41" s="8">
        <v>132.18</v>
      </c>
      <c r="M41" s="11">
        <v>10000000</v>
      </c>
      <c r="N41" s="11">
        <v>1321800000</v>
      </c>
      <c r="O41" s="11" t="s">
        <v>34</v>
      </c>
      <c r="P41" s="11">
        <v>98.39</v>
      </c>
      <c r="Q41" s="11">
        <v>0</v>
      </c>
      <c r="R41" s="8" t="s">
        <v>34</v>
      </c>
    </row>
    <row r="42" spans="1:18" x14ac:dyDescent="0.55000000000000004">
      <c r="A42" s="8">
        <v>38</v>
      </c>
      <c r="B42" s="8" t="s">
        <v>110</v>
      </c>
      <c r="C42" s="8" t="s">
        <v>118</v>
      </c>
      <c r="D42" s="8" t="s">
        <v>119</v>
      </c>
      <c r="E42" s="9">
        <v>44338</v>
      </c>
      <c r="F42" s="9">
        <v>44341</v>
      </c>
      <c r="G42" s="9">
        <v>45894</v>
      </c>
      <c r="H42" s="10" t="s">
        <v>105</v>
      </c>
      <c r="I42" s="8" t="s">
        <v>31</v>
      </c>
      <c r="J42" s="8" t="s">
        <v>116</v>
      </c>
      <c r="K42" s="8" t="s">
        <v>117</v>
      </c>
      <c r="L42" s="8">
        <v>133.56</v>
      </c>
      <c r="M42" s="11" t="s">
        <v>34</v>
      </c>
      <c r="N42" s="11" t="s">
        <v>34</v>
      </c>
      <c r="O42" s="11">
        <v>10000000</v>
      </c>
      <c r="P42" s="11">
        <v>98.49</v>
      </c>
      <c r="Q42" s="11">
        <v>1405600</v>
      </c>
      <c r="R42" s="8" t="s">
        <v>38</v>
      </c>
    </row>
    <row r="43" spans="1:18" x14ac:dyDescent="0.55000000000000004">
      <c r="A43" s="4">
        <v>39</v>
      </c>
      <c r="B43" s="8" t="s">
        <v>110</v>
      </c>
      <c r="C43" s="8" t="s">
        <v>120</v>
      </c>
      <c r="D43" s="8" t="s">
        <v>121</v>
      </c>
      <c r="E43" s="9">
        <v>44339</v>
      </c>
      <c r="F43" s="9">
        <v>44344</v>
      </c>
      <c r="G43" s="9">
        <v>45894</v>
      </c>
      <c r="H43" s="10">
        <v>3.5000000000000003E-2</v>
      </c>
      <c r="I43" s="8" t="s">
        <v>31</v>
      </c>
      <c r="J43" s="8" t="s">
        <v>116</v>
      </c>
      <c r="K43" s="8" t="s">
        <v>122</v>
      </c>
      <c r="L43" s="8">
        <v>110.88</v>
      </c>
      <c r="M43" s="11" t="s">
        <v>34</v>
      </c>
      <c r="N43" s="11" t="s">
        <v>34</v>
      </c>
      <c r="O43" s="11">
        <v>20000000</v>
      </c>
      <c r="P43" s="11">
        <v>106.5703125</v>
      </c>
      <c r="Q43" s="11">
        <v>921144</v>
      </c>
      <c r="R43" s="8" t="s">
        <v>38</v>
      </c>
    </row>
    <row r="44" spans="1:18" x14ac:dyDescent="0.55000000000000004">
      <c r="A44" s="8">
        <v>40</v>
      </c>
      <c r="B44" s="8" t="s">
        <v>110</v>
      </c>
      <c r="C44" s="8" t="s">
        <v>123</v>
      </c>
      <c r="D44" s="8" t="s">
        <v>124</v>
      </c>
      <c r="E44" s="9">
        <v>44340</v>
      </c>
      <c r="F44" s="9">
        <v>44345</v>
      </c>
      <c r="G44" s="9">
        <v>45894</v>
      </c>
      <c r="H44" s="10" t="s">
        <v>105</v>
      </c>
      <c r="I44" s="8" t="s">
        <v>31</v>
      </c>
      <c r="J44" s="8" t="s">
        <v>116</v>
      </c>
      <c r="K44" s="8" t="s">
        <v>117</v>
      </c>
      <c r="L44" s="8">
        <v>133.44999999999999</v>
      </c>
      <c r="M44" s="11">
        <v>20000000</v>
      </c>
      <c r="N44" s="11">
        <v>2669000000</v>
      </c>
      <c r="O44" s="11" t="s">
        <v>34</v>
      </c>
      <c r="P44" s="11">
        <v>98.265000000000001</v>
      </c>
      <c r="Q44" s="11">
        <v>0</v>
      </c>
      <c r="R44" s="8" t="s">
        <v>34</v>
      </c>
    </row>
    <row r="45" spans="1:18" x14ac:dyDescent="0.55000000000000004">
      <c r="A45" s="12">
        <v>41</v>
      </c>
      <c r="B45" s="12" t="s">
        <v>125</v>
      </c>
      <c r="C45" s="12" t="s">
        <v>126</v>
      </c>
      <c r="D45" s="12" t="s">
        <v>127</v>
      </c>
      <c r="E45" s="13">
        <v>44341</v>
      </c>
      <c r="F45" s="13">
        <v>44346</v>
      </c>
      <c r="G45" s="13">
        <v>45015</v>
      </c>
      <c r="H45" s="14" t="s">
        <v>105</v>
      </c>
      <c r="I45" s="12" t="s">
        <v>31</v>
      </c>
      <c r="J45" s="12" t="s">
        <v>34</v>
      </c>
      <c r="K45" s="12" t="s">
        <v>33</v>
      </c>
      <c r="L45" s="12">
        <v>1</v>
      </c>
      <c r="M45" s="15" t="s">
        <v>34</v>
      </c>
      <c r="N45" s="15" t="s">
        <v>34</v>
      </c>
      <c r="O45" s="15">
        <v>10</v>
      </c>
      <c r="P45" s="15">
        <v>9983</v>
      </c>
      <c r="Q45" s="15">
        <v>5810</v>
      </c>
      <c r="R45" s="12" t="s">
        <v>38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Lesson5_Func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EB8D-BB82-48A7-99B3-26DF89434773}">
  <sheetPr codeName="Sheet4"/>
  <dimension ref="A1"/>
  <sheetViews>
    <sheetView workbookViewId="0"/>
  </sheetViews>
  <sheetFormatPr defaultRowHeight="18" x14ac:dyDescent="0.55000000000000004"/>
  <sheetData>
    <row r="1" spans="1:1" x14ac:dyDescent="0.55000000000000004">
      <c r="A1" t="s">
        <v>128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Lesson6_Func">
                <anchor moveWithCells="1" sizeWithCells="1">
                  <from>
                    <xdr:col>1</xdr:col>
                    <xdr:colOff>6350</xdr:colOff>
                    <xdr:row>2</xdr:row>
                    <xdr:rowOff>12700</xdr:rowOff>
                  </from>
                  <to>
                    <xdr:col>5</xdr:col>
                    <xdr:colOff>6350</xdr:colOff>
                    <xdr:row>3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D726-F143-45D7-A9C3-F3C9AD4082A8}">
  <sheetPr codeName="Sheet5"/>
  <dimension ref="A1:K12"/>
  <sheetViews>
    <sheetView tabSelected="1" workbookViewId="0"/>
  </sheetViews>
  <sheetFormatPr defaultRowHeight="18" x14ac:dyDescent="0.55000000000000004"/>
  <cols>
    <col min="4" max="4" width="11" customWidth="1"/>
  </cols>
  <sheetData>
    <row r="1" spans="1:11" x14ac:dyDescent="0.55000000000000004">
      <c r="A1" s="18"/>
      <c r="B1" s="18"/>
      <c r="C1" s="19" t="s">
        <v>129</v>
      </c>
      <c r="D1" s="19"/>
      <c r="E1" s="19"/>
      <c r="F1" s="19" t="s">
        <v>136</v>
      </c>
      <c r="G1" s="19"/>
      <c r="H1" s="19"/>
      <c r="I1" s="19" t="s">
        <v>137</v>
      </c>
      <c r="J1" s="19"/>
      <c r="K1" s="19"/>
    </row>
    <row r="2" spans="1:11" x14ac:dyDescent="0.55000000000000004">
      <c r="A2" s="16"/>
      <c r="B2" s="16"/>
      <c r="C2" s="16" t="s">
        <v>130</v>
      </c>
      <c r="D2" s="16" t="s">
        <v>131</v>
      </c>
      <c r="E2" s="16" t="s">
        <v>132</v>
      </c>
      <c r="F2" s="16" t="s">
        <v>130</v>
      </c>
      <c r="G2" s="16" t="s">
        <v>131</v>
      </c>
      <c r="H2" s="16" t="s">
        <v>132</v>
      </c>
      <c r="I2" s="16" t="s">
        <v>130</v>
      </c>
      <c r="J2" s="16" t="s">
        <v>131</v>
      </c>
      <c r="K2" s="16" t="s">
        <v>132</v>
      </c>
    </row>
    <row r="3" spans="1:11" x14ac:dyDescent="0.55000000000000004">
      <c r="A3" s="17" t="s">
        <v>133</v>
      </c>
      <c r="B3" s="16" t="s">
        <v>134</v>
      </c>
      <c r="C3" s="16">
        <v>1419</v>
      </c>
      <c r="D3" s="16">
        <v>752</v>
      </c>
      <c r="E3" s="16">
        <f>ROUND(D3/C3*100,1)</f>
        <v>53</v>
      </c>
      <c r="F3" s="16">
        <v>2167</v>
      </c>
      <c r="G3" s="16">
        <v>1235</v>
      </c>
      <c r="H3" s="16">
        <f t="shared" ref="H3:H4" si="0">ROUND(G3/F3*100,1)</f>
        <v>57</v>
      </c>
      <c r="I3" s="16">
        <v>1828</v>
      </c>
      <c r="J3" s="16">
        <v>1169</v>
      </c>
      <c r="K3" s="16">
        <f t="shared" ref="K3:K4" si="1">ROUND(J3/I3*100,1)</f>
        <v>63.9</v>
      </c>
    </row>
    <row r="4" spans="1:11" x14ac:dyDescent="0.55000000000000004">
      <c r="A4" s="17"/>
      <c r="B4" s="16" t="s">
        <v>135</v>
      </c>
      <c r="C4" s="16">
        <v>1079</v>
      </c>
      <c r="D4" s="16">
        <v>517</v>
      </c>
      <c r="E4" s="16">
        <f>ROUND(D4/C4*100,1)</f>
        <v>47.9</v>
      </c>
      <c r="F4" s="16">
        <v>1160</v>
      </c>
      <c r="G4" s="16">
        <v>730</v>
      </c>
      <c r="H4" s="16">
        <f t="shared" si="0"/>
        <v>62.9</v>
      </c>
      <c r="I4" s="16">
        <v>1653</v>
      </c>
      <c r="J4" s="16">
        <v>909</v>
      </c>
      <c r="K4" s="16">
        <f t="shared" si="1"/>
        <v>55</v>
      </c>
    </row>
    <row r="5" spans="1:11" x14ac:dyDescent="0.55000000000000004">
      <c r="A5" s="17" t="s">
        <v>138</v>
      </c>
      <c r="B5" s="16" t="s">
        <v>134</v>
      </c>
      <c r="C5" s="16">
        <v>1419</v>
      </c>
      <c r="D5" s="16">
        <v>752</v>
      </c>
      <c r="E5" s="16">
        <f>ROUND(D5/C5*100,1)</f>
        <v>53</v>
      </c>
      <c r="F5" s="16">
        <v>2167</v>
      </c>
      <c r="G5" s="16">
        <v>1235</v>
      </c>
      <c r="H5" s="16">
        <f t="shared" ref="H5:H8" si="2">ROUND(G5/F5*100,1)</f>
        <v>57</v>
      </c>
      <c r="I5" s="16">
        <v>1828</v>
      </c>
      <c r="J5" s="16">
        <v>1169</v>
      </c>
      <c r="K5" s="16">
        <f t="shared" ref="K5:K8" si="3">ROUND(J5/I5*100,1)</f>
        <v>63.9</v>
      </c>
    </row>
    <row r="6" spans="1:11" x14ac:dyDescent="0.55000000000000004">
      <c r="A6" s="17"/>
      <c r="B6" s="16" t="s">
        <v>135</v>
      </c>
      <c r="C6" s="16">
        <v>1079</v>
      </c>
      <c r="D6" s="16">
        <v>517</v>
      </c>
      <c r="E6" s="16">
        <f>ROUND(D6/C6*100,1)</f>
        <v>47.9</v>
      </c>
      <c r="F6" s="16">
        <v>1160</v>
      </c>
      <c r="G6" s="16">
        <v>730</v>
      </c>
      <c r="H6" s="16">
        <f t="shared" si="2"/>
        <v>62.9</v>
      </c>
      <c r="I6" s="16">
        <v>1653</v>
      </c>
      <c r="J6" s="16">
        <v>909</v>
      </c>
      <c r="K6" s="16">
        <f t="shared" si="3"/>
        <v>55</v>
      </c>
    </row>
    <row r="7" spans="1:11" x14ac:dyDescent="0.55000000000000004">
      <c r="A7" s="17" t="s">
        <v>139</v>
      </c>
      <c r="B7" s="16" t="s">
        <v>134</v>
      </c>
      <c r="C7" s="16">
        <v>1419</v>
      </c>
      <c r="D7" s="16">
        <v>752</v>
      </c>
      <c r="E7" s="16">
        <f>ROUND(D7/C7*100,1)</f>
        <v>53</v>
      </c>
      <c r="F7" s="16">
        <v>2167</v>
      </c>
      <c r="G7" s="16">
        <v>1235</v>
      </c>
      <c r="H7" s="16">
        <f t="shared" si="2"/>
        <v>57</v>
      </c>
      <c r="I7" s="16">
        <v>1828</v>
      </c>
      <c r="J7" s="16">
        <v>1169</v>
      </c>
      <c r="K7" s="16">
        <f t="shared" si="3"/>
        <v>63.9</v>
      </c>
    </row>
    <row r="8" spans="1:11" x14ac:dyDescent="0.55000000000000004">
      <c r="A8" s="17"/>
      <c r="B8" s="16" t="s">
        <v>135</v>
      </c>
      <c r="C8" s="16">
        <v>1079</v>
      </c>
      <c r="D8" s="16">
        <v>517</v>
      </c>
      <c r="E8" s="16">
        <f>ROUND(D8/C8*100,1)</f>
        <v>47.9</v>
      </c>
      <c r="F8" s="16">
        <v>1160</v>
      </c>
      <c r="G8" s="16">
        <v>730</v>
      </c>
      <c r="H8" s="16">
        <f t="shared" si="2"/>
        <v>62.9</v>
      </c>
      <c r="I8" s="16">
        <v>1653</v>
      </c>
      <c r="J8" s="16">
        <v>909</v>
      </c>
      <c r="K8" s="16">
        <f t="shared" si="3"/>
        <v>55</v>
      </c>
    </row>
    <row r="11" spans="1:11" x14ac:dyDescent="0.55000000000000004">
      <c r="A11" s="20"/>
      <c r="B11" s="20"/>
      <c r="C11" s="20"/>
      <c r="D11" s="20"/>
      <c r="E11" s="20"/>
      <c r="F11" s="20"/>
    </row>
    <row r="12" spans="1:11" x14ac:dyDescent="0.55000000000000004">
      <c r="A12" s="20"/>
      <c r="B12" s="20"/>
      <c r="C12" s="20"/>
      <c r="D12" s="20"/>
      <c r="E12" s="20"/>
      <c r="F12" s="20"/>
    </row>
  </sheetData>
  <mergeCells count="6">
    <mergeCell ref="A3:A4"/>
    <mergeCell ref="C1:E1"/>
    <mergeCell ref="F1:H1"/>
    <mergeCell ref="I1:K1"/>
    <mergeCell ref="A5:A6"/>
    <mergeCell ref="A7:A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lesson3</vt:lpstr>
      <vt:lpstr>Sheet2</vt:lpstr>
      <vt:lpstr>lesson4</vt:lpstr>
      <vt:lpstr>lesson5</vt:lpstr>
      <vt:lpstr>lesson6</vt:lpstr>
      <vt:lpstr>lesson7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小友 瑞貴</dc:creator>
  <cp:lastModifiedBy>小友瑞貴</cp:lastModifiedBy>
  <dcterms:created xsi:type="dcterms:W3CDTF">2022-11-25T06:09:22Z</dcterms:created>
  <dcterms:modified xsi:type="dcterms:W3CDTF">2022-11-30T10:36:53Z</dcterms:modified>
</cp:coreProperties>
</file>